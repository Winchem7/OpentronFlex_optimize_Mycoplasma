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emis-Datar\OneDrive - Artemis DNA\Desktop\Win\BCA\"/>
    </mc:Choice>
  </mc:AlternateContent>
  <xr:revisionPtr revIDLastSave="0" documentId="8_{44310428-5EBA-4465-B3E5-409642A207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te 1 - Sheet1" sheetId="1" r:id="rId1"/>
  </sheets>
  <definedNames>
    <definedName name="MethodPointer1">920640032</definedName>
    <definedName name="MethodPointer2">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25" i="1"/>
  <c r="P26" i="1"/>
  <c r="P27" i="1"/>
  <c r="P28" i="1"/>
  <c r="P29" i="1"/>
  <c r="P30" i="1"/>
  <c r="P31" i="1"/>
  <c r="P32" i="1"/>
  <c r="P33" i="1"/>
  <c r="P34" i="1"/>
  <c r="P23" i="1"/>
  <c r="O24" i="1"/>
  <c r="O25" i="1"/>
  <c r="O26" i="1"/>
  <c r="O27" i="1"/>
  <c r="O28" i="1"/>
  <c r="O29" i="1"/>
  <c r="O30" i="1"/>
  <c r="O31" i="1"/>
  <c r="O32" i="1"/>
  <c r="O33" i="1"/>
  <c r="O34" i="1"/>
  <c r="O23" i="1"/>
  <c r="M30" i="1"/>
  <c r="M31" i="1"/>
  <c r="M32" i="1"/>
  <c r="M33" i="1"/>
  <c r="M34" i="1"/>
  <c r="M29" i="1"/>
  <c r="M24" i="1"/>
  <c r="M25" i="1"/>
  <c r="M26" i="1"/>
  <c r="M27" i="1"/>
  <c r="M28" i="1"/>
  <c r="M23" i="1"/>
  <c r="R8" i="1"/>
  <c r="R9" i="1"/>
  <c r="R10" i="1"/>
  <c r="R11" i="1"/>
  <c r="R12" i="1"/>
  <c r="R7" i="1"/>
  <c r="N8" i="1"/>
  <c r="N9" i="1"/>
  <c r="N10" i="1"/>
  <c r="N11" i="1"/>
  <c r="N12" i="1"/>
  <c r="N7" i="1"/>
  <c r="F8" i="1"/>
  <c r="F9" i="1"/>
  <c r="F10" i="1"/>
  <c r="F11" i="1"/>
  <c r="F12" i="1"/>
  <c r="F13" i="1"/>
  <c r="F14" i="1"/>
  <c r="F7" i="1"/>
  <c r="A8" i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<sst xmlns="http://schemas.openxmlformats.org/spreadsheetml/2006/main" count="36" uniqueCount="34">
  <si>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</si>
  <si>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</si>
  <si>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</si>
  <si>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</si>
  <si>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</si>
  <si>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</si>
  <si>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</si>
  <si>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</si>
  <si>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</si>
  <si>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avg</t>
  </si>
  <si>
    <t>sample</t>
  </si>
  <si>
    <t>P1</t>
  </si>
  <si>
    <t>P2</t>
  </si>
  <si>
    <t>P3</t>
  </si>
  <si>
    <t>P4</t>
  </si>
  <si>
    <t>4S/1</t>
  </si>
  <si>
    <t>5S/1</t>
  </si>
  <si>
    <t>4S/2</t>
  </si>
  <si>
    <t>5S/2</t>
  </si>
  <si>
    <t>4S/3</t>
  </si>
  <si>
    <t>5S/3</t>
  </si>
  <si>
    <t>4S/4</t>
  </si>
  <si>
    <t>5S/4</t>
  </si>
  <si>
    <t>mg/mL</t>
  </si>
  <si>
    <t>supernatant</t>
  </si>
  <si>
    <t>no sonicate</t>
  </si>
  <si>
    <t>10%, 10 pulses</t>
  </si>
  <si>
    <t>40ug</t>
  </si>
  <si>
    <t>ug/ul</t>
  </si>
  <si>
    <t>to 12 ml</t>
  </si>
  <si>
    <t xml:space="preserve">loading </t>
  </si>
  <si>
    <t>15%, 10 pulses, 3x</t>
  </si>
  <si>
    <t>Resuspension buffer</t>
  </si>
  <si>
    <t>Switch 5S/3 to 5S/4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</si>
</sst>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left" indent="1"/>
    </xf>
    <xf numFmtId="0" fontId="0" fillId="16" borderId="0" xfId="0" applyFill="1"/>
    <xf numFmtId="0" fontId="5" fillId="16" borderId="0" xfId="0" applyFont="1" applyFill="1"/>
    <xf numFmtId="2" fontId="0" fillId="16" borderId="0" xfId="0" applyNumberForma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1 - Sheet1'!$A$7:$A$14</c:f>
              <c:numCache>
                <c:formatCode>General</c:formatCode>
                <c:ptCount val="8"/>
                <c:pt idx="0">
                  <c:v>10</c:v>
                </c:pt>
                <c:pt idx="1">
                  <c:v>5</c:v>
                </c:pt>
                <c:pt idx="2">
                  <c:v>2.5</c:v>
                </c:pt>
                <c:pt idx="3">
                  <c:v>1.25</c:v>
                </c:pt>
                <c:pt idx="4">
                  <c:v>0.625</c:v>
                </c:pt>
                <c:pt idx="5">
                  <c:v>0.3125</c:v>
                </c:pt>
                <c:pt idx="6">
                  <c:v>0.15625</c:v>
                </c:pt>
                <c:pt idx="7">
                  <c:v>0</c:v>
                </c:pt>
              </c:numCache>
            </c:numRef>
          </c:xVal>
          <c:yVal>
            <c:numRef>
              <c:f>'Plate 1 - Sheet1'!$F$7:$F$14</c:f>
              <c:numCache>
                <c:formatCode>General</c:formatCode>
                <c:ptCount val="8"/>
                <c:pt idx="0">
                  <c:v>1.3053333333333335</c:v>
                </c:pt>
                <c:pt idx="1">
                  <c:v>0.97266666666666668</c:v>
                </c:pt>
                <c:pt idx="2">
                  <c:v>0.64400000000000002</c:v>
                </c:pt>
                <c:pt idx="3">
                  <c:v>0.42399999999999999</c:v>
                </c:pt>
                <c:pt idx="4">
                  <c:v>0.29533333333333328</c:v>
                </c:pt>
                <c:pt idx="5">
                  <c:v>0.20333333333333337</c:v>
                </c:pt>
                <c:pt idx="6">
                  <c:v>0.15566666666666665</c:v>
                </c:pt>
                <c:pt idx="7">
                  <c:v>7.8E-2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9-4A9D-81E3-F3772115E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35823"/>
        <c:axId val="653036303"/>
      </c:scatterChart>
      <c:valAx>
        <c:axId val="65303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36303"/>
        <c:crosses val="autoZero"/>
        <c:crossBetween val="midCat"/>
      </c:valAx>
      <c:valAx>
        <c:axId val="6530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3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18</xdr:row>
      <xdr:rowOff>38100</xdr:rowOff>
    </xdr:from>
    <xdr:to>
      <xdr:col>6</xdr:col>
      <xdr:colOff>571500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18757-F204-3E9C-1AE4-A319983CC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36"/>
  <sheetViews>
    <sheetView tabSelected="1" workbookViewId="0">
      <selection activeCell="H22" sqref="H22"/>
    </sheetView>
  </sheetViews>
  <sheetFormatPr defaultRowHeight="12.75" x14ac:dyDescent="0.2"/>
  <cols>
    <col min="1" max="1" width="20.7109375" customWidth="1"/>
    <col min="2" max="2" width="12.7109375" customWidth="1"/>
    <col min="6" max="6" width="11.5703125" bestFit="1" customWidth="1"/>
    <col min="10" max="10" width="25" customWidth="1"/>
    <col min="12" max="12" width="13.28515625" customWidth="1"/>
    <col min="15" max="16" width="11.28515625" customWidth="1"/>
  </cols>
  <sheetData>
    <row r="3" spans="1:18" x14ac:dyDescent="0.2">
      <c r="A3" s="1">
        <v>562</v>
      </c>
      <c r="B3" s="2"/>
    </row>
    <row r="4" spans="1:18" x14ac:dyDescent="0.2">
      <c r="A4" t="s">
        <v>0</v>
      </c>
      <c r="B4">
        <v>24.2</v>
      </c>
    </row>
    <row r="5" spans="1:18" x14ac:dyDescent="0.2">
      <c r="F5" s="18" t="s">
        <v>9</v>
      </c>
    </row>
    <row r="6" spans="1:18" x14ac:dyDescent="0.2">
      <c r="B6" s="3"/>
      <c r="C6" s="4">
        <v>1</v>
      </c>
      <c r="D6" s="4">
        <v>2</v>
      </c>
      <c r="E6" s="4">
        <v>3</v>
      </c>
      <c r="F6" s="4"/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 t="s">
        <v>9</v>
      </c>
      <c r="O6" s="4">
        <v>11</v>
      </c>
      <c r="P6" s="4">
        <v>12</v>
      </c>
      <c r="R6" s="18" t="s">
        <v>9</v>
      </c>
    </row>
    <row r="7" spans="1:18" x14ac:dyDescent="0.2">
      <c r="A7">
        <v>10</v>
      </c>
      <c r="B7" s="4" t="s">
        <v>1</v>
      </c>
      <c r="C7" s="5">
        <v>1.3180000000000001</v>
      </c>
      <c r="D7" s="6">
        <v>1.3</v>
      </c>
      <c r="E7" s="6">
        <v>1.298</v>
      </c>
      <c r="F7" s="6">
        <f>AVERAGE(C7:E7)</f>
        <v>1.3053333333333335</v>
      </c>
      <c r="G7" s="7">
        <v>0.59699999999999998</v>
      </c>
      <c r="H7" s="8">
        <v>0.70699999999999996</v>
      </c>
      <c r="I7" s="9">
        <v>4.5999999999999999E-2</v>
      </c>
      <c r="J7" s="9">
        <v>4.7E-2</v>
      </c>
      <c r="K7" s="9">
        <v>4.5999999999999999E-2</v>
      </c>
      <c r="L7" s="10">
        <v>1.6639999999999999</v>
      </c>
      <c r="M7" s="10">
        <v>1.6559999999999999</v>
      </c>
      <c r="N7" s="19">
        <f>AVERAGE(L7:M7)</f>
        <v>1.66</v>
      </c>
      <c r="O7" s="11">
        <v>1.7649999999999999</v>
      </c>
      <c r="P7" s="11">
        <v>1.774</v>
      </c>
      <c r="Q7" s="12">
        <v>562</v>
      </c>
      <c r="R7">
        <f>AVERAGE(O7:P7)</f>
        <v>1.7694999999999999</v>
      </c>
    </row>
    <row r="8" spans="1:18" x14ac:dyDescent="0.2">
      <c r="A8">
        <f>A7/2</f>
        <v>5</v>
      </c>
      <c r="B8" s="4" t="s">
        <v>2</v>
      </c>
      <c r="C8" s="13">
        <v>0.94</v>
      </c>
      <c r="D8" s="13">
        <v>0.97</v>
      </c>
      <c r="E8" s="13">
        <v>1.008</v>
      </c>
      <c r="F8" s="6">
        <f t="shared" ref="F8:F14" si="0">AVERAGE(C8:E8)</f>
        <v>0.97266666666666668</v>
      </c>
      <c r="G8" s="6">
        <v>1.256</v>
      </c>
      <c r="H8" s="13">
        <v>0.94199999999999995</v>
      </c>
      <c r="I8" s="9">
        <v>4.7E-2</v>
      </c>
      <c r="J8" s="9">
        <v>4.7E-2</v>
      </c>
      <c r="K8" s="9">
        <v>4.9000000000000002E-2</v>
      </c>
      <c r="L8" s="10">
        <v>1.6459999999999999</v>
      </c>
      <c r="M8" s="10">
        <v>1.631</v>
      </c>
      <c r="N8" s="19">
        <f t="shared" ref="N8:N12" si="1">AVERAGE(L8:M8)</f>
        <v>1.6385000000000001</v>
      </c>
      <c r="O8" s="11">
        <v>1.8029999999999999</v>
      </c>
      <c r="P8" s="11">
        <v>1.766</v>
      </c>
      <c r="Q8" s="12">
        <v>562</v>
      </c>
      <c r="R8">
        <f t="shared" ref="R8:R12" si="2">AVERAGE(O8:P8)</f>
        <v>1.7845</v>
      </c>
    </row>
    <row r="9" spans="1:18" x14ac:dyDescent="0.2">
      <c r="A9">
        <f t="shared" ref="A9:A13" si="3">A8/2</f>
        <v>2.5</v>
      </c>
      <c r="B9" s="4" t="s">
        <v>3</v>
      </c>
      <c r="C9" s="7">
        <v>0.625</v>
      </c>
      <c r="D9" s="7">
        <v>0.64700000000000002</v>
      </c>
      <c r="E9" s="7">
        <v>0.66</v>
      </c>
      <c r="F9" s="6">
        <f t="shared" si="0"/>
        <v>0.64400000000000002</v>
      </c>
      <c r="G9" s="14">
        <v>0.19600000000000001</v>
      </c>
      <c r="H9" s="14">
        <v>0.20100000000000001</v>
      </c>
      <c r="I9" s="9">
        <v>4.5999999999999999E-2</v>
      </c>
      <c r="J9" s="9">
        <v>4.7E-2</v>
      </c>
      <c r="K9" s="9">
        <v>4.5999999999999999E-2</v>
      </c>
      <c r="L9" s="10">
        <v>1.591</v>
      </c>
      <c r="M9" s="10">
        <v>1.5940000000000001</v>
      </c>
      <c r="N9" s="19">
        <f t="shared" si="1"/>
        <v>1.5925</v>
      </c>
      <c r="O9" s="6">
        <v>1.3029999999999999</v>
      </c>
      <c r="P9" s="6">
        <v>1.2390000000000001</v>
      </c>
      <c r="Q9" s="12">
        <v>562</v>
      </c>
      <c r="R9">
        <f t="shared" si="2"/>
        <v>1.2709999999999999</v>
      </c>
    </row>
    <row r="10" spans="1:18" x14ac:dyDescent="0.2">
      <c r="A10">
        <f t="shared" si="3"/>
        <v>1.25</v>
      </c>
      <c r="B10" s="4" t="s">
        <v>4</v>
      </c>
      <c r="C10" s="15">
        <v>0.39400000000000002</v>
      </c>
      <c r="D10" s="16">
        <v>0.44600000000000001</v>
      </c>
      <c r="E10" s="16">
        <v>0.432</v>
      </c>
      <c r="F10" s="6">
        <f t="shared" si="0"/>
        <v>0.42399999999999999</v>
      </c>
      <c r="G10" s="9">
        <v>4.7E-2</v>
      </c>
      <c r="H10" s="9">
        <v>4.7E-2</v>
      </c>
      <c r="I10" s="9">
        <v>4.4999999999999998E-2</v>
      </c>
      <c r="J10" s="9">
        <v>4.5999999999999999E-2</v>
      </c>
      <c r="K10" s="9">
        <v>4.7E-2</v>
      </c>
      <c r="L10" s="11">
        <v>1.8140000000000001</v>
      </c>
      <c r="M10" s="11">
        <v>1.8180000000000001</v>
      </c>
      <c r="N10" s="19">
        <f t="shared" si="1"/>
        <v>1.8160000000000001</v>
      </c>
      <c r="O10" s="6">
        <v>1.2689999999999999</v>
      </c>
      <c r="P10" s="6">
        <v>1.2030000000000001</v>
      </c>
      <c r="Q10" s="12">
        <v>562</v>
      </c>
      <c r="R10">
        <f t="shared" si="2"/>
        <v>1.236</v>
      </c>
    </row>
    <row r="11" spans="1:18" x14ac:dyDescent="0.2">
      <c r="A11">
        <f t="shared" si="3"/>
        <v>0.625</v>
      </c>
      <c r="B11" s="4" t="s">
        <v>5</v>
      </c>
      <c r="C11" s="14">
        <v>0.27</v>
      </c>
      <c r="D11" s="15">
        <v>0.313</v>
      </c>
      <c r="E11" s="15">
        <v>0.30299999999999999</v>
      </c>
      <c r="F11" s="6">
        <f t="shared" si="0"/>
        <v>0.29533333333333328</v>
      </c>
      <c r="G11" s="9">
        <v>4.7E-2</v>
      </c>
      <c r="H11" s="9">
        <v>4.9000000000000002E-2</v>
      </c>
      <c r="I11" s="9">
        <v>4.4999999999999998E-2</v>
      </c>
      <c r="J11" s="9">
        <v>4.4999999999999998E-2</v>
      </c>
      <c r="K11" s="9">
        <v>4.7E-2</v>
      </c>
      <c r="L11" s="11">
        <v>1.796</v>
      </c>
      <c r="M11" s="11">
        <v>1.766</v>
      </c>
      <c r="N11" s="19">
        <f t="shared" si="1"/>
        <v>1.7810000000000001</v>
      </c>
      <c r="O11" s="17">
        <v>1.4730000000000001</v>
      </c>
      <c r="P11" s="17">
        <v>1.4430000000000001</v>
      </c>
      <c r="Q11" s="12">
        <v>562</v>
      </c>
      <c r="R11">
        <f t="shared" si="2"/>
        <v>1.4580000000000002</v>
      </c>
    </row>
    <row r="12" spans="1:18" x14ac:dyDescent="0.2">
      <c r="A12">
        <f t="shared" si="3"/>
        <v>0.3125</v>
      </c>
      <c r="B12" s="4" t="s">
        <v>6</v>
      </c>
      <c r="C12" s="14">
        <v>0.19800000000000001</v>
      </c>
      <c r="D12" s="14">
        <v>0.23</v>
      </c>
      <c r="E12" s="14">
        <v>0.182</v>
      </c>
      <c r="F12" s="6">
        <f t="shared" si="0"/>
        <v>0.20333333333333337</v>
      </c>
      <c r="G12" s="9">
        <v>4.7E-2</v>
      </c>
      <c r="H12" s="9">
        <v>4.7E-2</v>
      </c>
      <c r="I12" s="9">
        <v>4.5999999999999999E-2</v>
      </c>
      <c r="J12" s="9">
        <v>4.7E-2</v>
      </c>
      <c r="K12" s="9">
        <v>4.7E-2</v>
      </c>
      <c r="L12" s="10">
        <v>1.5860000000000001</v>
      </c>
      <c r="M12" s="10">
        <v>1.59</v>
      </c>
      <c r="N12" s="19">
        <f t="shared" si="1"/>
        <v>1.5880000000000001</v>
      </c>
      <c r="O12" s="10">
        <v>1.657</v>
      </c>
      <c r="P12" s="10">
        <v>1.6539999999999999</v>
      </c>
      <c r="Q12" s="12">
        <v>562</v>
      </c>
      <c r="R12">
        <f t="shared" si="2"/>
        <v>1.6555</v>
      </c>
    </row>
    <row r="13" spans="1:18" x14ac:dyDescent="0.2">
      <c r="A13">
        <f t="shared" si="3"/>
        <v>0.15625</v>
      </c>
      <c r="B13" s="4" t="s">
        <v>7</v>
      </c>
      <c r="C13" s="9">
        <v>0.14899999999999999</v>
      </c>
      <c r="D13" s="9">
        <v>0.16400000000000001</v>
      </c>
      <c r="E13" s="9">
        <v>0.154</v>
      </c>
      <c r="F13" s="6">
        <f t="shared" si="0"/>
        <v>0.15566666666666665</v>
      </c>
      <c r="G13" s="9">
        <v>4.5999999999999999E-2</v>
      </c>
      <c r="H13" s="9">
        <v>4.8000000000000001E-2</v>
      </c>
      <c r="I13" s="9">
        <v>4.7E-2</v>
      </c>
      <c r="J13" s="9">
        <v>4.7E-2</v>
      </c>
      <c r="K13" s="9">
        <v>4.5999999999999999E-2</v>
      </c>
      <c r="L13" s="9">
        <v>6.5000000000000002E-2</v>
      </c>
      <c r="M13" s="9">
        <v>7.0000000000000007E-2</v>
      </c>
      <c r="N13" s="9"/>
      <c r="O13" s="9">
        <v>6.7000000000000004E-2</v>
      </c>
      <c r="P13" s="9">
        <v>6.5000000000000002E-2</v>
      </c>
      <c r="Q13" s="12">
        <v>562</v>
      </c>
    </row>
    <row r="14" spans="1:18" x14ac:dyDescent="0.2">
      <c r="A14">
        <v>0</v>
      </c>
      <c r="B14" s="4" t="s">
        <v>8</v>
      </c>
      <c r="C14" s="9">
        <v>7.3999999999999996E-2</v>
      </c>
      <c r="D14" s="9">
        <v>7.8E-2</v>
      </c>
      <c r="E14" s="9">
        <v>8.2000000000000003E-2</v>
      </c>
      <c r="F14" s="6">
        <f t="shared" si="0"/>
        <v>7.8E-2</v>
      </c>
      <c r="G14" s="9">
        <v>4.4999999999999998E-2</v>
      </c>
      <c r="H14" s="9">
        <v>4.5999999999999999E-2</v>
      </c>
      <c r="I14" s="9">
        <v>4.7E-2</v>
      </c>
      <c r="J14" s="9">
        <v>4.5999999999999999E-2</v>
      </c>
      <c r="K14" s="9">
        <v>4.5999999999999999E-2</v>
      </c>
      <c r="L14" s="9">
        <v>6.4000000000000001E-2</v>
      </c>
      <c r="M14" s="9">
        <v>7.0000000000000007E-2</v>
      </c>
      <c r="N14" s="9"/>
      <c r="O14" s="9">
        <v>6.6000000000000003E-2</v>
      </c>
      <c r="P14" s="9">
        <v>6.6000000000000003E-2</v>
      </c>
      <c r="Q14" s="12">
        <v>562</v>
      </c>
    </row>
    <row r="21" spans="10:17" x14ac:dyDescent="0.2">
      <c r="M21" s="18" t="s">
        <v>28</v>
      </c>
    </row>
    <row r="22" spans="10:17" x14ac:dyDescent="0.2">
      <c r="K22" s="18" t="s">
        <v>10</v>
      </c>
      <c r="L22" s="18" t="s">
        <v>24</v>
      </c>
      <c r="M22" s="18" t="s">
        <v>23</v>
      </c>
      <c r="O22" s="18" t="s">
        <v>27</v>
      </c>
      <c r="P22" s="18" t="s">
        <v>29</v>
      </c>
      <c r="Q22" s="18" t="s">
        <v>30</v>
      </c>
    </row>
    <row r="23" spans="10:17" x14ac:dyDescent="0.2">
      <c r="J23" s="21" t="s">
        <v>25</v>
      </c>
      <c r="K23">
        <v>1</v>
      </c>
      <c r="L23" s="18" t="s">
        <v>11</v>
      </c>
      <c r="M23">
        <f>(N7-0.2086)/0.1214</f>
        <v>11.955518945634267</v>
      </c>
      <c r="O23" s="22">
        <f>40/M23</f>
        <v>3.3457351522667769</v>
      </c>
      <c r="P23" s="22">
        <f>12-O23</f>
        <v>8.6542648477332236</v>
      </c>
      <c r="Q23">
        <v>3</v>
      </c>
    </row>
    <row r="24" spans="10:17" x14ac:dyDescent="0.2">
      <c r="J24" s="20"/>
      <c r="K24">
        <v>2</v>
      </c>
      <c r="L24" s="18" t="s">
        <v>15</v>
      </c>
      <c r="M24">
        <f t="shared" ref="M24:M28" si="4">(N8-0.2086)/0.1214</f>
        <v>11.778418451400329</v>
      </c>
      <c r="O24" s="22">
        <f t="shared" ref="O24:O34" si="5">40/M24</f>
        <v>3.3960416812364502</v>
      </c>
      <c r="P24" s="22">
        <f t="shared" ref="P24:P34" si="6">12-O24</f>
        <v>8.6039583187635493</v>
      </c>
      <c r="Q24">
        <v>3</v>
      </c>
    </row>
    <row r="25" spans="10:17" x14ac:dyDescent="0.2">
      <c r="J25" s="20"/>
      <c r="K25">
        <v>3</v>
      </c>
      <c r="L25" s="18" t="s">
        <v>16</v>
      </c>
      <c r="M25">
        <f t="shared" si="4"/>
        <v>11.399505766062605</v>
      </c>
      <c r="O25" s="22">
        <f t="shared" si="5"/>
        <v>3.5089240552063004</v>
      </c>
      <c r="P25" s="22">
        <f t="shared" si="6"/>
        <v>8.4910759447936996</v>
      </c>
      <c r="Q25">
        <v>3</v>
      </c>
    </row>
    <row r="26" spans="10:17" x14ac:dyDescent="0.2">
      <c r="J26" s="21" t="s">
        <v>26</v>
      </c>
      <c r="K26">
        <v>4</v>
      </c>
      <c r="L26" s="18" t="s">
        <v>12</v>
      </c>
      <c r="M26">
        <f t="shared" si="4"/>
        <v>13.240527182866559</v>
      </c>
      <c r="O26" s="22">
        <f t="shared" si="5"/>
        <v>3.0210277466716429</v>
      </c>
      <c r="P26" s="22">
        <f t="shared" si="6"/>
        <v>8.978972253328358</v>
      </c>
      <c r="Q26">
        <v>3</v>
      </c>
    </row>
    <row r="27" spans="10:17" x14ac:dyDescent="0.2">
      <c r="J27" s="20"/>
      <c r="K27">
        <v>5</v>
      </c>
      <c r="L27" s="18" t="s">
        <v>17</v>
      </c>
      <c r="M27">
        <f t="shared" si="4"/>
        <v>12.952224052718288</v>
      </c>
      <c r="O27" s="22">
        <f t="shared" si="5"/>
        <v>3.0882727041465272</v>
      </c>
      <c r="P27" s="22">
        <f t="shared" si="6"/>
        <v>8.9117272958534723</v>
      </c>
      <c r="Q27">
        <v>3</v>
      </c>
    </row>
    <row r="28" spans="10:17" x14ac:dyDescent="0.2">
      <c r="J28" s="20"/>
      <c r="K28">
        <v>6</v>
      </c>
      <c r="L28" s="18" t="s">
        <v>18</v>
      </c>
      <c r="M28">
        <f t="shared" si="4"/>
        <v>11.362438220757825</v>
      </c>
      <c r="O28" s="22">
        <f t="shared" si="5"/>
        <v>3.5203711758735681</v>
      </c>
      <c r="P28" s="22">
        <f t="shared" si="6"/>
        <v>8.4796288241264328</v>
      </c>
      <c r="Q28">
        <v>3</v>
      </c>
    </row>
    <row r="29" spans="10:17" x14ac:dyDescent="0.2">
      <c r="J29" s="21" t="s">
        <v>31</v>
      </c>
      <c r="K29">
        <v>7</v>
      </c>
      <c r="L29" s="18" t="s">
        <v>13</v>
      </c>
      <c r="M29">
        <f>(R7-0.2086)/0.1214</f>
        <v>12.857495881383853</v>
      </c>
      <c r="O29" s="22">
        <f t="shared" si="5"/>
        <v>3.1110256903068745</v>
      </c>
      <c r="P29" s="22">
        <f t="shared" si="6"/>
        <v>8.8889743096931255</v>
      </c>
      <c r="Q29">
        <v>3</v>
      </c>
    </row>
    <row r="30" spans="10:17" x14ac:dyDescent="0.2">
      <c r="J30" s="20"/>
      <c r="K30">
        <v>8</v>
      </c>
      <c r="L30" s="18" t="s">
        <v>19</v>
      </c>
      <c r="M30">
        <f t="shared" ref="M30:M34" si="7">(R8-0.2086)/0.1214</f>
        <v>12.981054365733113</v>
      </c>
      <c r="O30" s="22">
        <f t="shared" si="5"/>
        <v>3.0814137952915797</v>
      </c>
      <c r="P30" s="22">
        <f t="shared" si="6"/>
        <v>8.9185862047084203</v>
      </c>
      <c r="Q30">
        <v>3</v>
      </c>
    </row>
    <row r="31" spans="10:17" x14ac:dyDescent="0.2">
      <c r="J31" s="20"/>
      <c r="K31" s="23">
        <v>9</v>
      </c>
      <c r="L31" s="24" t="s">
        <v>20</v>
      </c>
      <c r="M31" s="23">
        <f t="shared" si="7"/>
        <v>8.7512355848434904</v>
      </c>
      <c r="N31" s="23"/>
      <c r="O31" s="25">
        <f t="shared" si="5"/>
        <v>4.5707831325301216</v>
      </c>
      <c r="P31" s="25">
        <f t="shared" si="6"/>
        <v>7.4292168674698784</v>
      </c>
      <c r="Q31" s="23">
        <v>3</v>
      </c>
    </row>
    <row r="32" spans="10:17" x14ac:dyDescent="0.2">
      <c r="J32" s="21" t="s">
        <v>32</v>
      </c>
      <c r="K32">
        <v>10</v>
      </c>
      <c r="L32" s="18" t="s">
        <v>14</v>
      </c>
      <c r="M32">
        <f t="shared" si="7"/>
        <v>8.462932454695224</v>
      </c>
      <c r="O32" s="22">
        <f t="shared" si="5"/>
        <v>4.7264940626824989</v>
      </c>
      <c r="P32" s="22">
        <f t="shared" si="6"/>
        <v>7.2735059373175011</v>
      </c>
      <c r="Q32">
        <v>3</v>
      </c>
    </row>
    <row r="33" spans="10:17" x14ac:dyDescent="0.2">
      <c r="J33" s="20"/>
      <c r="K33">
        <v>11</v>
      </c>
      <c r="L33" s="18" t="s">
        <v>21</v>
      </c>
      <c r="M33">
        <f t="shared" si="7"/>
        <v>10.291598023064251</v>
      </c>
      <c r="O33" s="22">
        <f t="shared" si="5"/>
        <v>3.8866655994877539</v>
      </c>
      <c r="P33" s="22">
        <f t="shared" si="6"/>
        <v>8.1133344005122456</v>
      </c>
      <c r="Q33">
        <v>3</v>
      </c>
    </row>
    <row r="34" spans="10:17" x14ac:dyDescent="0.2">
      <c r="J34" s="20"/>
      <c r="K34" s="23">
        <v>12</v>
      </c>
      <c r="L34" s="24" t="s">
        <v>22</v>
      </c>
      <c r="M34" s="23">
        <f t="shared" si="7"/>
        <v>11.918451400329488</v>
      </c>
      <c r="N34" s="23"/>
      <c r="O34" s="25">
        <f t="shared" si="5"/>
        <v>3.3561407146312812</v>
      </c>
      <c r="P34" s="25">
        <f t="shared" si="6"/>
        <v>8.6438592853687197</v>
      </c>
      <c r="Q34" s="23">
        <v>3</v>
      </c>
    </row>
    <row r="36" spans="10:17" x14ac:dyDescent="0.2">
      <c r="K36" s="18" t="s">
        <v>33</v>
      </c>
    </row>
  </sheetData>
  <mergeCells count="4">
    <mergeCell ref="J23:J25"/>
    <mergeCell ref="J26:J28"/>
    <mergeCell ref="J29:J31"/>
    <mergeCell ref="J32:J34"/>
  </mergeCells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Akinrinade, Adebola N</dc:creator>
  <cp:lastModifiedBy>Wijitrmektong, Wissarut</cp:lastModifiedBy>
  <dcterms:created xsi:type="dcterms:W3CDTF">2011-01-18T20:51:17Z</dcterms:created>
  <dcterms:modified xsi:type="dcterms:W3CDTF">2025-07-04T17:17:28Z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